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ie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F2B3"/>
        </patternFill>
      </fill>
    </dxf>
    <dxf>
      <fill>
        <patternFill patternType="solid">
          <fgColor rgb="00E7E7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0" customWidth="1" min="2" max="2"/>
    <col width="13" customWidth="1" min="3" max="3"/>
    <col width="24" customWidth="1" min="4" max="4"/>
    <col width="13" customWidth="1" min="5" max="5"/>
    <col width="13" customWidth="1" min="6" max="6"/>
    <col width="13" customWidth="1" min="7" max="7"/>
    <col width="18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28" customWidth="1" min="27" max="27"/>
    <col width="30" customWidth="1" min="28" max="28"/>
    <col width="13" customWidth="1" min="29" max="29"/>
    <col width="60" customWidth="1" min="30" max="30"/>
  </cols>
  <sheetData>
    <row r="1" ht="45" customHeight="1">
      <c r="A1" s="1" t="inlineStr">
        <is>
          <t>ID</t>
        </is>
      </c>
      <c r="B1" s="1" t="inlineStr">
        <is>
          <t>Nombre / dirección</t>
        </is>
      </c>
      <c r="C1" s="1" t="inlineStr">
        <is>
          <t>Comuna</t>
        </is>
      </c>
      <c r="D1" s="1" t="inlineStr">
        <is>
          <t>Rol SII</t>
        </is>
      </c>
      <c r="E1" s="1" t="inlineStr">
        <is>
          <t>Tipo</t>
        </is>
      </c>
      <c r="F1" s="1" t="inlineStr">
        <is>
          <t>m² útiles</t>
        </is>
      </c>
      <c r="G1" s="1" t="inlineStr">
        <is>
          <t>Fecha de compra</t>
        </is>
      </c>
      <c r="H1" s="1" t="inlineStr">
        <is>
          <t>Tipo de financiamiento</t>
        </is>
      </c>
      <c r="I1" s="1" t="inlineStr">
        <is>
          <t>Costo total (UF)</t>
        </is>
      </c>
      <c r="J1" s="1" t="inlineStr">
        <is>
          <t>Capital propio aportado (UF)</t>
        </is>
      </c>
      <c r="K1" s="1" t="inlineStr">
        <is>
          <t>Banco</t>
        </is>
      </c>
      <c r="L1" s="1" t="inlineStr">
        <is>
          <t>Monto del crédito (UF)</t>
        </is>
      </c>
      <c r="M1" s="1" t="inlineStr">
        <is>
          <t>Tasa anual (%)</t>
        </is>
      </c>
      <c r="N1" s="1" t="inlineStr">
        <is>
          <t>Plazo (años)</t>
        </is>
      </c>
      <c r="O1" s="1" t="inlineStr">
        <is>
          <t>Fecha primer dividendo</t>
        </is>
      </c>
      <c r="P1" s="1" t="inlineStr">
        <is>
          <t>Dividendo mensual (UF)</t>
        </is>
      </c>
      <c r="Q1" s="1" t="inlineStr">
        <is>
          <t>Saldo insoluto hoy (UF)</t>
        </is>
      </c>
      <c r="R1" s="1" t="inlineStr">
        <is>
          <t>Estado</t>
        </is>
      </c>
      <c r="S1" s="1" t="inlineStr">
        <is>
          <t>Arriendo mensual (UF)</t>
        </is>
      </c>
      <c r="T1" s="1" t="inlineStr">
        <is>
          <t>Inicio del contrato</t>
        </is>
      </c>
      <c r="U1" s="1" t="inlineStr">
        <is>
          <t>Fin del contrato</t>
        </is>
      </c>
      <c r="V1" s="1" t="inlineStr">
        <is>
          <t>Contribuciones (UF/año)</t>
        </is>
      </c>
      <c r="W1" s="1" t="inlineStr">
        <is>
          <t>Gastos comunes no recuperables (UF/año)</t>
        </is>
      </c>
      <c r="X1" s="1" t="inlineStr">
        <is>
          <t>Valor comercial (UF)</t>
        </is>
      </c>
      <c r="Y1" s="1" t="inlineStr">
        <is>
          <t>Valor banco (UF)</t>
        </is>
      </c>
      <c r="Z1" s="1" t="inlineStr">
        <is>
          <t>Fecha de tasación</t>
        </is>
      </c>
      <c r="AA1" s="1" t="inlineStr">
        <is>
          <t>Tasador</t>
        </is>
      </c>
      <c r="AB1" s="1" t="inlineStr">
        <is>
          <t>Archivo PDF tasación</t>
        </is>
      </c>
      <c r="AC1" s="1" t="inlineStr">
        <is>
          <t>Plusvalía sobre costo (%)</t>
        </is>
      </c>
      <c r="AD1" s="1" t="inlineStr">
        <is>
          <t>Notas</t>
        </is>
      </c>
    </row>
    <row r="2">
      <c r="A2" t="inlineStr">
        <is>
          <t>P11</t>
        </is>
      </c>
      <c r="B2" t="inlineStr">
        <is>
          <t>Locales comerciales La Portada, Antonia López de Bello 934 al 968</t>
        </is>
      </c>
      <c r="C2" t="inlineStr">
        <is>
          <t>Independencia</t>
        </is>
      </c>
      <c r="D2" t="inlineStr">
        <is>
          <t>288-11 (planilla: 248-11)</t>
        </is>
      </c>
      <c r="E2" t="inlineStr">
        <is>
          <t>Local comercial</t>
        </is>
      </c>
      <c r="F2" t="n">
        <v>518</v>
      </c>
      <c r="G2" s="2" t="n"/>
      <c r="O2" s="2" t="n"/>
      <c r="Q2">
        <f>IF(OR(L2="",M2="",N2="",O2=""),"",IF(TODAY()&lt;O2,L2,ROUND(L2*((1+M2/1200)^(N2*12)-(1+M2/1200)^MIN((N2*12),DATEDIF(O2,TODAY(),"M")+1))/((1+M2/1200)^(N2*12)-1),1)))</f>
        <v/>
      </c>
      <c r="R2" t="inlineStr">
        <is>
          <t>Arrendada</t>
        </is>
      </c>
      <c r="S2" t="n">
        <v>118.6</v>
      </c>
      <c r="T2" s="2" t="n"/>
      <c r="U2" s="2" t="n"/>
      <c r="X2" t="n">
        <v>18050</v>
      </c>
      <c r="Y2" t="n">
        <v>18050</v>
      </c>
      <c r="Z2" s="2" t="n">
        <v>45603</v>
      </c>
      <c r="AA2" t="inlineStr">
        <is>
          <t>Perito judicial V. Correa (causa Santander C-15903-2023)</t>
        </is>
      </c>
      <c r="AB2" t="inlineStr">
        <is>
          <t>Tasacion Centro Comercial La Portada Independencia (1).pdf</t>
        </is>
      </c>
      <c r="AC2">
        <f>IF(OR(X2="",N(I2)=0),"",ROUND((X2/I2-1)*100,1))</f>
        <v/>
      </c>
      <c r="AD2" t="inlineStr">
        <is>
          <t>Arriendo = renta neta capitalizada en la tasación, no contrato. Informe judicial $685,5 MM a UF nov 2024. Valor libro $365.000.000.</t>
        </is>
      </c>
    </row>
    <row r="3">
      <c r="A3" t="inlineStr">
        <is>
          <t>P05</t>
        </is>
      </c>
      <c r="B3" t="inlineStr">
        <is>
          <t>Terrazas 401, Av. del Parque 5275 Of. 401 + 7 estac.</t>
        </is>
      </c>
      <c r="C3" t="inlineStr">
        <is>
          <t>Huechuraba</t>
        </is>
      </c>
      <c r="D3" t="inlineStr">
        <is>
          <t>6047-20, 6047-234, 235, 236, 237, 245, 256, 257</t>
        </is>
      </c>
      <c r="E3" t="inlineStr">
        <is>
          <t>Oficina</t>
        </is>
      </c>
      <c r="F3" t="n">
        <v>283.02</v>
      </c>
      <c r="G3" s="2" t="n"/>
      <c r="K3" t="inlineStr">
        <is>
          <t>Banco de Chile</t>
        </is>
      </c>
      <c r="L3" t="n">
        <v>12296.05</v>
      </c>
      <c r="M3" t="n">
        <v>4.94</v>
      </c>
      <c r="N3" t="n">
        <v>15</v>
      </c>
      <c r="O3" s="2" t="n">
        <v>45658</v>
      </c>
      <c r="P3" t="n">
        <v>99.91</v>
      </c>
      <c r="Q3">
        <f>IF(OR(L3="",M3="",N3="",O3=""),"",IF(TODAY()&lt;O3,L3,ROUND(L3*((1+M3/1200)^(N3*12)-(1+M3/1200)^MIN((N3*12),DATEDIF(O3,TODAY(),"M")+1))/((1+M3/1200)^(N3*12)-1),1)))</f>
        <v/>
      </c>
      <c r="R3" t="inlineStr">
        <is>
          <t>Arrendada</t>
        </is>
      </c>
      <c r="S3" t="n">
        <v>77.5</v>
      </c>
      <c r="T3" s="2" t="n"/>
      <c r="U3" s="2" t="n"/>
      <c r="X3" t="n">
        <v>16635</v>
      </c>
      <c r="Y3" t="n">
        <v>16635</v>
      </c>
      <c r="Z3" s="2" t="n">
        <v>45440</v>
      </c>
      <c r="AA3" t="inlineStr">
        <is>
          <t>CGDV para Banco de Chile</t>
        </is>
      </c>
      <c r="AB3" t="inlineStr">
        <is>
          <t>Tasacion Oficina 401 Terrazas.pdf</t>
        </is>
      </c>
      <c r="AC3">
        <f>IF(OR(X3="",N(I3)=0),"",ROUND((X3/I3-1)*100,1))</f>
        <v/>
      </c>
      <c r="AD3" t="inlineStr">
        <is>
          <t>Arrendatario Importadora Hevia SpA. Arriendo según tasación. Crédito op. 899.601 de 12.100 UF; el monto incluye intereses capitalizados de 4 meses de gracia. Valor libro $630.702.717.</t>
        </is>
      </c>
    </row>
    <row r="4">
      <c r="A4" t="inlineStr">
        <is>
          <t>P03</t>
        </is>
      </c>
      <c r="B4" t="inlineStr">
        <is>
          <t>Terrazas 202, Av. del Parque 5275 Of. 202 + 5 estac. + bodega 46</t>
        </is>
      </c>
      <c r="C4" t="inlineStr">
        <is>
          <t>Huechuraba</t>
        </is>
      </c>
      <c r="D4" t="inlineStr">
        <is>
          <t>6047-11, 6047-136 a 140, 6047-298</t>
        </is>
      </c>
      <c r="E4" t="inlineStr">
        <is>
          <t>Oficina</t>
        </is>
      </c>
      <c r="F4" t="n">
        <v>275</v>
      </c>
      <c r="G4" s="2" t="n"/>
      <c r="K4" t="inlineStr">
        <is>
          <t>Itaú</t>
        </is>
      </c>
      <c r="L4" t="n">
        <v>9761.98</v>
      </c>
      <c r="M4" t="n">
        <v>4.48</v>
      </c>
      <c r="N4" t="n">
        <v>12</v>
      </c>
      <c r="O4" s="2" t="n">
        <v>46042</v>
      </c>
      <c r="P4" t="n">
        <v>87.75</v>
      </c>
      <c r="Q4">
        <f>IF(OR(L4="",M4="",N4="",O4=""),"",IF(TODAY()&lt;O4,L4,ROUND(L4*((1+M4/1200)^(N4*12)-(1+M4/1200)^MIN((N4*12),DATEDIF(O4,TODAY(),"M")+1))/((1+M4/1200)^(N4*12)-1),1)))</f>
        <v/>
      </c>
      <c r="R4" t="inlineStr">
        <is>
          <t>Arrendada</t>
        </is>
      </c>
      <c r="S4" t="n">
        <v>85</v>
      </c>
      <c r="T4" s="2" t="n"/>
      <c r="U4" s="2" t="n"/>
      <c r="X4" t="n">
        <v>14100</v>
      </c>
      <c r="Y4" t="n">
        <v>14100</v>
      </c>
      <c r="Z4" s="2" t="n">
        <v>45820</v>
      </c>
      <c r="AA4" t="inlineStr">
        <is>
          <t>N. Latorre para Itaú</t>
        </is>
      </c>
      <c r="AB4" t="inlineStr">
        <is>
          <t>Tasacion Itau Terrazas 202 (1).pdf</t>
        </is>
      </c>
      <c r="AC4">
        <f>IF(OR(X4="",N(I4)=0),"",ROUND((X4/I4-1)*100,1))</f>
        <v/>
      </c>
      <c r="AD4" t="inlineStr">
        <is>
          <t>Arrendatario Corporación Vial S.A. Arriendo según tasación. Tasa implícita desde la tabla de desarrollo. Valor libro $552.179.500.</t>
        </is>
      </c>
    </row>
    <row r="5">
      <c r="A5" t="inlineStr">
        <is>
          <t>P09</t>
        </is>
      </c>
      <c r="B5" t="inlineStr">
        <is>
          <t>Oficina Nueva York 25, piso 3</t>
        </is>
      </c>
      <c r="C5" t="inlineStr">
        <is>
          <t>Santiago</t>
        </is>
      </c>
      <c r="D5" t="inlineStr">
        <is>
          <t>00029-00003</t>
        </is>
      </c>
      <c r="E5" t="inlineStr">
        <is>
          <t>Oficina</t>
        </is>
      </c>
      <c r="F5" t="n">
        <v>311</v>
      </c>
      <c r="G5" s="2" t="n"/>
      <c r="K5" t="inlineStr">
        <is>
          <t>Santander</t>
        </is>
      </c>
      <c r="L5" t="n">
        <v>3990</v>
      </c>
      <c r="M5" t="n">
        <v>4.94</v>
      </c>
      <c r="N5" t="n">
        <v>12</v>
      </c>
      <c r="O5" s="2" t="n">
        <v>46211</v>
      </c>
      <c r="P5" t="n">
        <v>36.79</v>
      </c>
      <c r="Q5">
        <f>IF(OR(L5="",M5="",N5="",O5=""),"",IF(TODAY()&lt;O5,L5,ROUND(L5*((1+M5/1200)^(N5*12)-(1+M5/1200)^MIN((N5*12),DATEDIF(O5,TODAY(),"M")+1))/((1+M5/1200)^(N5*12)-1),1)))</f>
        <v/>
      </c>
      <c r="R5" t="inlineStr">
        <is>
          <t>En reparación</t>
        </is>
      </c>
      <c r="T5" s="2" t="n"/>
      <c r="U5" s="2" t="n"/>
      <c r="X5" t="n">
        <v>8225</v>
      </c>
      <c r="Y5" t="n">
        <v>8225</v>
      </c>
      <c r="Z5" s="2" t="n">
        <v>46042</v>
      </c>
      <c r="AA5" t="inlineStr">
        <is>
          <t>Propiteq (estimación online)</t>
        </is>
      </c>
      <c r="AB5" t="inlineStr">
        <is>
          <t>Tasacion Oficina Nueva York 25.pdf</t>
        </is>
      </c>
      <c r="AC5">
        <f>IF(OR(X5="",N(I5)=0),"",ROUND((X5/I5-1)*100,1))</f>
        <v/>
      </c>
      <c r="AD5" t="inlineStr">
        <is>
          <t>Recibida 15/07, remodelando. Valor es estimación automática. Tasa implícita.</t>
        </is>
      </c>
    </row>
    <row r="6">
      <c r="A6" t="inlineStr">
        <is>
          <t>P07</t>
        </is>
      </c>
      <c r="B6" t="inlineStr">
        <is>
          <t>Ñuñoa, Los Talaveras 120 depto 405 + estac. 79 + bodega 44</t>
        </is>
      </c>
      <c r="C6" t="inlineStr">
        <is>
          <t>Ñuñoa</t>
        </is>
      </c>
      <c r="D6" t="inlineStr">
        <is>
          <t>3950-678, 3950-768, 3950-834</t>
        </is>
      </c>
      <c r="E6" t="inlineStr">
        <is>
          <t>Departamento</t>
        </is>
      </c>
      <c r="F6" t="n">
        <v>99</v>
      </c>
      <c r="G6" s="2" t="n"/>
      <c r="O6" s="2" t="n"/>
      <c r="Q6">
        <f>IF(OR(L6="",M6="",N6="",O6=""),"",IF(TODAY()&lt;O6,L6,ROUND(L6*((1+M6/1200)^(N6*12)-(1+M6/1200)^MIN((N6*12),DATEDIF(O6,TODAY(),"M")+1))/((1+M6/1200)^(N6*12)-1),1)))</f>
        <v/>
      </c>
      <c r="T6" s="2" t="n"/>
      <c r="U6" s="2" t="n"/>
      <c r="X6" t="n">
        <v>8030</v>
      </c>
      <c r="Y6" t="n">
        <v>8030</v>
      </c>
      <c r="Z6" s="2" t="n">
        <v>46239</v>
      </c>
      <c r="AA6" t="inlineStr">
        <is>
          <t>BancoEstado</t>
        </is>
      </c>
      <c r="AB6" t="inlineStr">
        <is>
          <t>Tasacion Ñuñoa.pdf</t>
        </is>
      </c>
      <c r="AC6">
        <f>IF(OR(X6="",N(I6)=0),"",ROUND((X6/I6-1)*100,1))</f>
        <v/>
      </c>
      <c r="AD6" t="inlineStr">
        <is>
          <t>PDF: $328.000.000. Arrendatario sin informar. Valor libro $220.500.000.</t>
        </is>
      </c>
    </row>
    <row r="7">
      <c r="A7" t="inlineStr">
        <is>
          <t>P01</t>
        </is>
      </c>
      <c r="B7" t="inlineStr">
        <is>
          <t>Moneda 812, Of. 705</t>
        </is>
      </c>
      <c r="C7" t="inlineStr">
        <is>
          <t>Santiago</t>
        </is>
      </c>
      <c r="D7" t="inlineStr">
        <is>
          <t>00025-00291</t>
        </is>
      </c>
      <c r="E7" t="inlineStr">
        <is>
          <t>Oficina</t>
        </is>
      </c>
      <c r="F7" t="n">
        <v>297</v>
      </c>
      <c r="G7" s="2" t="n"/>
      <c r="O7" s="2" t="n"/>
      <c r="Q7">
        <f>IF(OR(L7="",M7="",N7="",O7=""),"",IF(TODAY()&lt;O7,L7,ROUND(L7*((1+M7/1200)^(N7*12)-(1+M7/1200)^MIN((N7*12),DATEDIF(O7,TODAY(),"M")+1))/((1+M7/1200)^(N7*12)-1),1)))</f>
        <v/>
      </c>
      <c r="R7" t="inlineStr">
        <is>
          <t>Arrendada</t>
        </is>
      </c>
      <c r="S7" t="n">
        <v>54</v>
      </c>
      <c r="T7" s="2" t="n"/>
      <c r="U7" s="2" t="n"/>
      <c r="X7" t="n">
        <v>9800</v>
      </c>
      <c r="Y7" t="n">
        <v>7840</v>
      </c>
      <c r="Z7" s="2" t="n">
        <v>45863</v>
      </c>
      <c r="AA7" t="inlineStr">
        <is>
          <t>N. Latorre para Itaú (TMA251378)</t>
        </is>
      </c>
      <c r="AB7" t="inlineStr">
        <is>
          <t>TMA251378 (3).pdf</t>
        </is>
      </c>
      <c r="AC7">
        <f>IF(OR(X7="",N(I7)=0),"",ROUND((X7/I7-1)*100,1))</f>
        <v/>
      </c>
      <c r="AD7" t="inlineStr">
        <is>
          <t>Arrendatario Vision Optics Chile SpA. Arriendo según tasación. Otra tasación: BancoEstado sep 2025, 6.509 UF (TASACION Moneda.pdf). Valor libro $384.252.660.</t>
        </is>
      </c>
    </row>
    <row r="8">
      <c r="A8" t="inlineStr">
        <is>
          <t>P10</t>
        </is>
      </c>
      <c r="B8" t="inlineStr">
        <is>
          <t>Huérfanos 1294, Of. 51</t>
        </is>
      </c>
      <c r="C8" t="inlineStr">
        <is>
          <t>Santiago</t>
        </is>
      </c>
      <c r="D8" t="inlineStr">
        <is>
          <t>00107-00223</t>
        </is>
      </c>
      <c r="E8" t="inlineStr">
        <is>
          <t>Oficina</t>
        </is>
      </c>
      <c r="F8" t="n">
        <v>203</v>
      </c>
      <c r="G8" s="2" t="n"/>
      <c r="O8" s="2" t="n"/>
      <c r="Q8">
        <f>IF(OR(L8="",M8="",N8="",O8=""),"",IF(TODAY()&lt;O8,L8,ROUND(L8*((1+M8/1200)^(N8*12)-(1+M8/1200)^MIN((N8*12),DATEDIF(O8,TODAY(),"M")+1))/((1+M8/1200)^(N8*12)-1),1)))</f>
        <v/>
      </c>
      <c r="R8" t="inlineStr">
        <is>
          <t>En reparación</t>
        </is>
      </c>
      <c r="S8" t="n">
        <v>46.7</v>
      </c>
      <c r="T8" s="2" t="n"/>
      <c r="U8" s="2" t="n"/>
      <c r="X8" t="n">
        <v>7657</v>
      </c>
      <c r="Y8" t="n">
        <v>7657</v>
      </c>
      <c r="Z8" s="2" t="n">
        <v>46220</v>
      </c>
      <c r="AA8" t="inlineStr">
        <is>
          <t>Propiteq (estimación online)</t>
        </is>
      </c>
      <c r="AB8" t="inlineStr">
        <is>
          <t>Tasacion Oficina Huerfanos.pdf</t>
        </is>
      </c>
      <c r="AC8">
        <f>IF(OR(X8="",N(I8)=0),"",ROUND((X8/I8-1)*100,1))</f>
        <v/>
      </c>
      <c r="AD8" t="inlineStr">
        <is>
          <t>Recibida junio, remodelando. Arriendo = estimación Propiteq. Valor libro $124.585.059.</t>
        </is>
      </c>
    </row>
    <row r="9">
      <c r="A9" t="inlineStr">
        <is>
          <t>P04</t>
        </is>
      </c>
      <c r="B9" t="inlineStr">
        <is>
          <t>Work Center Miraflores, Av. Ventisquero 2225 Módulo 42 Nave D</t>
        </is>
      </c>
      <c r="C9" t="inlineStr">
        <is>
          <t>Renca</t>
        </is>
      </c>
      <c r="D9" t="inlineStr">
        <is>
          <t>02899-00296</t>
        </is>
      </c>
      <c r="E9" t="inlineStr">
        <is>
          <t>Bodega</t>
        </is>
      </c>
      <c r="G9" s="2" t="n"/>
      <c r="K9" t="inlineStr">
        <is>
          <t>Banco de Chile</t>
        </is>
      </c>
      <c r="L9" t="n">
        <v>5000</v>
      </c>
      <c r="M9" t="n">
        <v>4.5</v>
      </c>
      <c r="N9" t="n">
        <v>12</v>
      </c>
      <c r="O9" s="2" t="n">
        <v>46054</v>
      </c>
      <c r="P9" t="n">
        <v>46.72</v>
      </c>
      <c r="Q9">
        <f>IF(OR(L9="",M9="",N9="",O9=""),"",IF(TODAY()&lt;O9,L9,ROUND(L9*((1+M9/1200)^(N9*12)-(1+M9/1200)^MIN((N9*12),DATEDIF(O9,TODAY(),"M")+1))/((1+M9/1200)^(N9*12)-1),1)))</f>
        <v/>
      </c>
      <c r="R9" t="inlineStr">
        <is>
          <t>Arrendada</t>
        </is>
      </c>
      <c r="T9" s="2" t="n"/>
      <c r="U9" s="2" t="n"/>
      <c r="X9" t="n">
        <v>7545</v>
      </c>
      <c r="Y9" t="n">
        <v>7545</v>
      </c>
      <c r="Z9" s="2" t="n">
        <v>45964</v>
      </c>
      <c r="AA9" t="inlineStr">
        <is>
          <t>Banco de Chile (correo)</t>
        </is>
      </c>
      <c r="AB9" t="inlineStr">
        <is>
          <t>Tasacion Work Center Miraflores.pdf</t>
        </is>
      </c>
      <c r="AC9">
        <f>IF(OR(X9="",N(I9)=0),"",ROUND((X9/I9-1)*100,1))</f>
        <v/>
      </c>
      <c r="AD9" t="inlineStr">
        <is>
          <t>Arrendatario Medio Mundo SpA. Crédito op. 166.411. Valor libro $299.747.458.</t>
        </is>
      </c>
    </row>
    <row r="10">
      <c r="A10" t="inlineStr">
        <is>
          <t>P06</t>
        </is>
      </c>
      <c r="B10" t="inlineStr">
        <is>
          <t>Europa 401, Av. del Parque 4680 + estac. 113, 114 + bodega 68</t>
        </is>
      </c>
      <c r="C10" t="inlineStr">
        <is>
          <t>Huechuraba</t>
        </is>
      </c>
      <c r="D10" t="inlineStr">
        <is>
          <t>6061-38, 6061-109, 6061-110, 6061-73</t>
        </is>
      </c>
      <c r="E10" t="inlineStr">
        <is>
          <t>Oficina</t>
        </is>
      </c>
      <c r="F10" t="n">
        <v>126</v>
      </c>
      <c r="G10" s="2" t="n"/>
      <c r="K10" t="inlineStr">
        <is>
          <t>BancoEstado</t>
        </is>
      </c>
      <c r="L10" t="n">
        <v>3971.25</v>
      </c>
      <c r="M10" t="n">
        <v>3.97</v>
      </c>
      <c r="N10" t="n">
        <v>12</v>
      </c>
      <c r="O10" s="2" t="n">
        <v>45199</v>
      </c>
      <c r="P10" t="n">
        <v>34.58</v>
      </c>
      <c r="Q10">
        <f>IF(OR(L10="",M10="",N10="",O10=""),"",IF(TODAY()&lt;O10,L10,ROUND(L10*((1+M10/1200)^(N10*12)-(1+M10/1200)^MIN((N10*12),DATEDIF(O10,TODAY(),"M")+1))/((1+M10/1200)^(N10*12)-1),1)))</f>
        <v/>
      </c>
      <c r="R10" t="inlineStr">
        <is>
          <t>Arrendada</t>
        </is>
      </c>
      <c r="T10" s="2" t="n"/>
      <c r="U10" s="2" t="n"/>
      <c r="X10" t="n">
        <v>5367</v>
      </c>
      <c r="Y10" t="n">
        <v>5367</v>
      </c>
      <c r="Z10" s="2" t="n">
        <v>45056</v>
      </c>
      <c r="AA10" t="inlineStr">
        <is>
          <t>BancoEstado</t>
        </is>
      </c>
      <c r="AB10" t="inlineStr">
        <is>
          <t>Tasacion Oficial Edificio Europa 401.pdf</t>
        </is>
      </c>
      <c r="AC10">
        <f>IF(OR(X10="",N(I10)=0),"",ROUND((X10/I10-1)*100,1))</f>
        <v/>
      </c>
      <c r="AD10" t="inlineStr">
        <is>
          <t>Arrendatario Mendes Holler Ingeniería SpA. Crédito op. 116424450. Valor libro $164.000.000.</t>
        </is>
      </c>
    </row>
    <row r="11">
      <c r="A11" t="inlineStr">
        <is>
          <t>P02</t>
        </is>
      </c>
      <c r="B11" t="inlineStr">
        <is>
          <t>Patio Mayor, Av. del Parque 4980 Of. 331 + estac. 28, 29</t>
        </is>
      </c>
      <c r="C11" t="inlineStr">
        <is>
          <t>Huechuraba</t>
        </is>
      </c>
      <c r="D11" t="inlineStr">
        <is>
          <t>6055-76, 6055-187, 6055-188, 6055-136</t>
        </is>
      </c>
      <c r="E11" t="inlineStr">
        <is>
          <t>Oficina</t>
        </is>
      </c>
      <c r="F11" t="n">
        <v>111</v>
      </c>
      <c r="G11" s="2" t="n"/>
      <c r="K11" t="inlineStr">
        <is>
          <t>Itaú</t>
        </is>
      </c>
      <c r="L11" t="n">
        <v>3552</v>
      </c>
      <c r="M11" t="n">
        <v>4.58</v>
      </c>
      <c r="N11" t="n">
        <v>12</v>
      </c>
      <c r="O11" s="2" t="n">
        <v>45782</v>
      </c>
      <c r="P11" t="n">
        <v>32.1</v>
      </c>
      <c r="Q11">
        <f>IF(OR(L11="",M11="",N11="",O11=""),"",IF(TODAY()&lt;O11,L11,ROUND(L11*((1+M11/1200)^(N11*12)-(1+M11/1200)^MIN((N11*12),DATEDIF(O11,TODAY(),"M")+1))/((1+M11/1200)^(N11*12)-1),1)))</f>
        <v/>
      </c>
      <c r="R11" t="inlineStr">
        <is>
          <t>Arrendada</t>
        </is>
      </c>
      <c r="S11" t="n">
        <v>32</v>
      </c>
      <c r="T11" s="2" t="n"/>
      <c r="U11" s="2" t="n"/>
      <c r="X11" t="n">
        <v>4440</v>
      </c>
      <c r="Y11" t="n">
        <v>4440</v>
      </c>
      <c r="Z11" s="2" t="n">
        <v>45652</v>
      </c>
      <c r="AA11" t="inlineStr">
        <is>
          <t>N. Latorre para Itaú</t>
        </is>
      </c>
      <c r="AB11" t="inlineStr">
        <is>
          <t>TMA242294 - TASACION OFICINA Patio Mayor (1).pdf</t>
        </is>
      </c>
      <c r="AC11">
        <f>IF(OR(X11="",N(I11)=0),"",ROUND((X11/I11-1)*100,1))</f>
        <v/>
      </c>
      <c r="AD11" t="inlineStr">
        <is>
          <t>Arrendatario Más a Más SpA. Arriendo según tasación. Tasa implícita. Valor libro $170.384.300.</t>
        </is>
      </c>
    </row>
    <row r="12">
      <c r="A12" t="inlineStr">
        <is>
          <t>P08</t>
        </is>
      </c>
      <c r="B12" t="inlineStr">
        <is>
          <t>Recoleta, Edificio Ilumina, Av. Valdivieso 411, deptos 25, 27, 85 y 105</t>
        </is>
      </c>
      <c r="C12" t="inlineStr">
        <is>
          <t>Recoleta</t>
        </is>
      </c>
      <c r="D12" t="inlineStr">
        <is>
          <t>2371-26, 2371-82, 2371-104, 2371-106, 2371-28, 2371-68, 2371-108</t>
        </is>
      </c>
      <c r="E12" t="inlineStr">
        <is>
          <t>Departamento</t>
        </is>
      </c>
      <c r="F12" t="n">
        <v>255.74</v>
      </c>
      <c r="G12" s="2" t="n"/>
      <c r="O12" s="2" t="n"/>
      <c r="Q12">
        <f>IF(OR(L12="",M12="",N12="",O12=""),"",IF(TODAY()&lt;O12,L12,ROUND(L12*((1+M12/1200)^(N12*12)-(1+M12/1200)^MIN((N12*12),DATEDIF(O12,TODAY(),"M")+1))/((1+M12/1200)^(N12*12)-1),1)))</f>
        <v/>
      </c>
      <c r="R12" t="inlineStr">
        <is>
          <t>En compra</t>
        </is>
      </c>
      <c r="S12" t="n">
        <v>57.85</v>
      </c>
      <c r="T12" s="2" t="n"/>
      <c r="U12" s="2" t="n"/>
      <c r="X12" t="n">
        <v>18200</v>
      </c>
      <c r="Y12" t="n">
        <v>15268</v>
      </c>
      <c r="Z12" s="2" t="n">
        <v>46269</v>
      </c>
      <c r="AA12" t="inlineStr">
        <is>
          <t>Roberto Nieto para Banco de Chile</t>
        </is>
      </c>
      <c r="AB12" t="inlineStr">
        <is>
          <t>TASACION DEPTO 25, 27, 85, 105 (4 archivos)</t>
        </is>
      </c>
      <c r="AC12">
        <f>IF(OR(X12="",N(I12)=0),"",ROUND((X12/I12-1)*100,1))</f>
        <v/>
      </c>
      <c r="AD12" t="inlineStr">
        <is>
          <t>10% pagado ($40.129.495), deuda banco aprox. $360 MM por confirmar. Arriendo estimado en tasaciones. Nuevos sin uso, recepción final pendiente.</t>
        </is>
      </c>
    </row>
    <row r="13">
      <c r="G13" s="2" t="n"/>
      <c r="O13" s="2" t="n"/>
      <c r="Q13">
        <f>IF(OR(L13="",M13="",N13="",O13=""),"",IF(TODAY()&lt;O13,L13,ROUND(L13*((1+M13/1200)^(N13*12)-(1+M13/1200)^MIN((N13*12),DATEDIF(O13,TODAY(),"M")+1))/((1+M13/1200)^(N13*12)-1),1)))</f>
        <v/>
      </c>
      <c r="T13" s="2" t="n"/>
      <c r="U13" s="2" t="n"/>
      <c r="Z13" s="2" t="n"/>
      <c r="AC13">
        <f>IF(OR(X13="",N(I13)=0),"",ROUND((X13/I13-1)*100,1))</f>
        <v/>
      </c>
    </row>
    <row r="14">
      <c r="G14" s="2" t="n"/>
      <c r="O14" s="2" t="n"/>
      <c r="Q14">
        <f>IF(OR(L14="",M14="",N14="",O14=""),"",IF(TODAY()&lt;O14,L14,ROUND(L14*((1+M14/1200)^(N14*12)-(1+M14/1200)^MIN((N14*12),DATEDIF(O14,TODAY(),"M")+1))/((1+M14/1200)^(N14*12)-1),1)))</f>
        <v/>
      </c>
      <c r="T14" s="2" t="n"/>
      <c r="U14" s="2" t="n"/>
      <c r="Z14" s="2" t="n"/>
      <c r="AC14">
        <f>IF(OR(X14="",N(I14)=0),"",ROUND((X14/I14-1)*100,1))</f>
        <v/>
      </c>
    </row>
    <row r="15">
      <c r="G15" s="2" t="n"/>
      <c r="O15" s="2" t="n"/>
      <c r="Q15">
        <f>IF(OR(L15="",M15="",N15="",O15=""),"",IF(TODAY()&lt;O15,L15,ROUND(L15*((1+M15/1200)^(N15*12)-(1+M15/1200)^MIN((N15*12),DATEDIF(O15,TODAY(),"M")+1))/((1+M15/1200)^(N15*12)-1),1)))</f>
        <v/>
      </c>
      <c r="T15" s="2" t="n"/>
      <c r="U15" s="2" t="n"/>
      <c r="Z15" s="2" t="n"/>
      <c r="AC15">
        <f>IF(OR(X15="",N(I15)=0),"",ROUND((X15/I15-1)*100,1))</f>
        <v/>
      </c>
    </row>
    <row r="16">
      <c r="G16" s="2" t="n"/>
      <c r="O16" s="2" t="n"/>
      <c r="Q16">
        <f>IF(OR(L16="",M16="",N16="",O16=""),"",IF(TODAY()&lt;O16,L16,ROUND(L16*((1+M16/1200)^(N16*12)-(1+M16/1200)^MIN((N16*12),DATEDIF(O16,TODAY(),"M")+1))/((1+M16/1200)^(N16*12)-1),1)))</f>
        <v/>
      </c>
      <c r="T16" s="2" t="n"/>
      <c r="U16" s="2" t="n"/>
      <c r="Z16" s="2" t="n"/>
      <c r="AC16">
        <f>IF(OR(X16="",N(I16)=0),"",ROUND((X16/I16-1)*100,1))</f>
        <v/>
      </c>
    </row>
    <row r="17">
      <c r="G17" s="2" t="n"/>
      <c r="O17" s="2" t="n"/>
      <c r="Q17">
        <f>IF(OR(L17="",M17="",N17="",O17=""),"",IF(TODAY()&lt;O17,L17,ROUND(L17*((1+M17/1200)^(N17*12)-(1+M17/1200)^MIN((N17*12),DATEDIF(O17,TODAY(),"M")+1))/((1+M17/1200)^(N17*12)-1),1)))</f>
        <v/>
      </c>
      <c r="T17" s="2" t="n"/>
      <c r="U17" s="2" t="n"/>
      <c r="Z17" s="2" t="n"/>
      <c r="AC17">
        <f>IF(OR(X17="",N(I17)=0),"",ROUND((X17/I17-1)*100,1))</f>
        <v/>
      </c>
    </row>
    <row r="18">
      <c r="G18" s="2" t="n"/>
      <c r="O18" s="2" t="n"/>
      <c r="Q18">
        <f>IF(OR(L18="",M18="",N18="",O18=""),"",IF(TODAY()&lt;O18,L18,ROUND(L18*((1+M18/1200)^(N18*12)-(1+M18/1200)^MIN((N18*12),DATEDIF(O18,TODAY(),"M")+1))/((1+M18/1200)^(N18*12)-1),1)))</f>
        <v/>
      </c>
      <c r="T18" s="2" t="n"/>
      <c r="U18" s="2" t="n"/>
      <c r="Z18" s="2" t="n"/>
      <c r="AC18">
        <f>IF(OR(X18="",N(I18)=0),"",ROUND((X18/I18-1)*100,1))</f>
        <v/>
      </c>
    </row>
    <row r="19">
      <c r="G19" s="2" t="n"/>
      <c r="O19" s="2" t="n"/>
      <c r="Q19">
        <f>IF(OR(L19="",M19="",N19="",O19=""),"",IF(TODAY()&lt;O19,L19,ROUND(L19*((1+M19/1200)^(N19*12)-(1+M19/1200)^MIN((N19*12),DATEDIF(O19,TODAY(),"M")+1))/((1+M19/1200)^(N19*12)-1),1)))</f>
        <v/>
      </c>
      <c r="T19" s="2" t="n"/>
      <c r="U19" s="2" t="n"/>
      <c r="Z19" s="2" t="n"/>
      <c r="AC19">
        <f>IF(OR(X19="",N(I19)=0),"",ROUND((X19/I19-1)*100,1))</f>
        <v/>
      </c>
    </row>
    <row r="20">
      <c r="G20" s="2" t="n"/>
      <c r="O20" s="2" t="n"/>
      <c r="Q20">
        <f>IF(OR(L20="",M20="",N20="",O20=""),"",IF(TODAY()&lt;O20,L20,ROUND(L20*((1+M20/1200)^(N20*12)-(1+M20/1200)^MIN((N20*12),DATEDIF(O20,TODAY(),"M")+1))/((1+M20/1200)^(N20*12)-1),1)))</f>
        <v/>
      </c>
      <c r="T20" s="2" t="n"/>
      <c r="U20" s="2" t="n"/>
      <c r="Z20" s="2" t="n"/>
      <c r="AC20">
        <f>IF(OR(X20="",N(I20)=0),"",ROUND((X20/I20-1)*100,1))</f>
        <v/>
      </c>
    </row>
  </sheetData>
  <conditionalFormatting sqref="J2:J20">
    <cfRule type="expression" priority="1" dxfId="0">
      <formula>AND($H2="Compra con banco",$J2="")</formula>
    </cfRule>
    <cfRule type="expression" priority="2" dxfId="1">
      <formula>AND($A2&lt;&gt;"",$H2&lt;&gt;"Compra con banco")</formula>
    </cfRule>
  </conditionalFormatting>
  <dataValidations count="3">
    <dataValidation sqref="H2:H20" showDropDown="0" showInputMessage="0" showErrorMessage="1" allowBlank="1" errorTitle="Tipo de financiamiento" error="Elige Leaseback o Compra con banco." type="list">
      <formula1>"Leaseback,Compra con banco"</formula1>
    </dataValidation>
    <dataValidation sqref="J2:J20" showDropDown="0" showInputMessage="0" showErrorMessage="1" allowBlank="1" errorTitle="Capital propio" error="Solo se ingresa capital propio si el financiamiento es Compra con banco." type="custom">
      <formula1>$H2="Compra con banco"</formula1>
    </dataValidation>
    <dataValidation sqref="R2:R20" showDropDown="0" showInputMessage="0" showErrorMessage="0" allowBlank="1" type="list">
      <formula1>"Arrendada,Vacante,En reparación,En venta,Vendida,Uso propio,En compra"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2026-10-01T20:02:39Z</dcterms:created>
  <dcterms:modified xsi:type="dcterms:W3CDTF">2026-10-01T20:02:39Z</dcterms:modified>
</cp:coreProperties>
</file>